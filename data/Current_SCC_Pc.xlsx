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820149B6-487C-47A4-BF9B-0410E60500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5" i="1" l="1"/>
  <c r="P36" i="1" s="1"/>
  <c r="O35" i="1"/>
  <c r="O36" i="1" s="1"/>
  <c r="N35" i="1"/>
  <c r="N36" i="1" s="1"/>
  <c r="M35" i="1"/>
  <c r="M36" i="1" s="1"/>
  <c r="L35" i="1"/>
  <c r="L36" i="1" s="1"/>
  <c r="K35" i="1"/>
  <c r="K36" i="1" s="1"/>
  <c r="J35" i="1"/>
  <c r="J36" i="1" s="1"/>
  <c r="I35" i="1"/>
  <c r="I36" i="1" s="1"/>
  <c r="H35" i="1"/>
  <c r="H36" i="1" s="1"/>
  <c r="G35" i="1"/>
  <c r="G36" i="1" s="1"/>
  <c r="F35" i="1"/>
  <c r="F36" i="1" s="1"/>
  <c r="E35" i="1"/>
  <c r="E36" i="1" s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R35" i="1" s="1"/>
  <c r="R36" i="1" s="1"/>
  <c r="Q4" i="1"/>
  <c r="Q35" i="1" s="1"/>
  <c r="Q36" i="1" s="1"/>
</calcChain>
</file>

<file path=xl/sharedStrings.xml><?xml version="1.0" encoding="utf-8"?>
<sst xmlns="http://schemas.openxmlformats.org/spreadsheetml/2006/main" count="115" uniqueCount="23">
  <si>
    <t>Date</t>
  </si>
  <si>
    <t>Operation Status</t>
  </si>
  <si>
    <t>Raw Water Intake (MLD)</t>
  </si>
  <si>
    <t>Potable Water Production (MLD)</t>
  </si>
  <si>
    <t>CHEMICAL CONSUMPTION</t>
  </si>
  <si>
    <t>A</t>
  </si>
  <si>
    <t>B</t>
  </si>
  <si>
    <t>C</t>
  </si>
  <si>
    <t>Poly-Electrolyte (Kg)</t>
  </si>
  <si>
    <t>P/PAC (kg)</t>
  </si>
  <si>
    <t>Liq. PAC(Kg)</t>
  </si>
  <si>
    <t>S/Alum kg</t>
  </si>
  <si>
    <t>L/Alum (Kg)</t>
  </si>
  <si>
    <t>Lime kg</t>
  </si>
  <si>
    <t>Salt(Kg)</t>
  </si>
  <si>
    <t>Bleaching Powder(Kg)</t>
  </si>
  <si>
    <t>Hypo-chlorite (Kg)</t>
  </si>
  <si>
    <t>Chlorine(Kg)</t>
  </si>
  <si>
    <t>Total Coagulant Consumption</t>
  </si>
  <si>
    <t>Total Disinfectant Consumption</t>
  </si>
  <si>
    <t>✓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</si>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</sst>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A4" sqref="A4"/>
    </sheetView>
  </sheetViews>
  <sheetFormatPr defaultRowHeight="15"/>
  <sheetData>
    <row r="1" spans="1:18">
      <c r="A1" s="1" t="s">
        <v>0</v>
      </c>
      <c r="B1" s="2" t="s">
        <v>1</v>
      </c>
      <c r="C1" s="2"/>
      <c r="D1" s="2"/>
      <c r="E1" s="3" t="s">
        <v>2</v>
      </c>
      <c r="F1" s="3" t="s">
        <v>3</v>
      </c>
      <c r="G1" s="2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2" spans="1:18">
      <c r="A2" s="1"/>
      <c r="B2" s="2"/>
      <c r="C2" s="2"/>
      <c r="D2" s="2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ht="60">
      <c r="A3" s="1"/>
      <c r="B3" s="6" t="s">
        <v>5</v>
      </c>
      <c r="C3" s="6" t="s">
        <v>6</v>
      </c>
      <c r="D3" s="6" t="s">
        <v>7</v>
      </c>
      <c r="E3" s="3"/>
      <c r="F3" s="3"/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7" t="s">
        <v>18</v>
      </c>
      <c r="R3" s="7" t="s">
        <v>19</v>
      </c>
    </row>
    <row r="4" spans="1:18">
      <c r="A4" s="8">
        <v>46235</v>
      </c>
      <c r="B4" s="9" t="s">
        <v>20</v>
      </c>
      <c r="C4" s="9" t="s">
        <v>20</v>
      </c>
      <c r="D4" s="9" t="s">
        <v>20</v>
      </c>
      <c r="E4" s="10">
        <v>213.952</v>
      </c>
      <c r="F4" s="11">
        <v>224.876</v>
      </c>
      <c r="G4" s="12">
        <v>20.6</v>
      </c>
      <c r="H4" s="13">
        <v>0</v>
      </c>
      <c r="I4" s="14">
        <v>9623.0400000000009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530</v>
      </c>
      <c r="Q4" s="13">
        <f t="shared" ref="Q4:Q23" si="0">SUM(G4:L4)</f>
        <v>9643.6400000000012</v>
      </c>
      <c r="R4" s="13">
        <f t="shared" ref="R4:R23" si="1">SUM(M4:P4)</f>
        <v>530</v>
      </c>
    </row>
    <row r="5" spans="1:18">
      <c r="A5" s="8">
        <v>46236</v>
      </c>
      <c r="B5" s="9" t="s">
        <v>20</v>
      </c>
      <c r="C5" s="9" t="s">
        <v>20</v>
      </c>
      <c r="D5" s="9" t="s">
        <v>20</v>
      </c>
      <c r="E5" s="10">
        <v>242.03700000000001</v>
      </c>
      <c r="F5" s="11">
        <v>226.28299999999999</v>
      </c>
      <c r="G5" s="12">
        <v>20.6</v>
      </c>
      <c r="H5" s="13">
        <v>775</v>
      </c>
      <c r="I5" s="13">
        <v>8733.7800000000007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600</v>
      </c>
      <c r="Q5" s="13">
        <f t="shared" si="0"/>
        <v>9529.380000000001</v>
      </c>
      <c r="R5" s="13">
        <f t="shared" si="1"/>
        <v>600</v>
      </c>
    </row>
    <row r="6" spans="1:18">
      <c r="A6" s="8">
        <v>46237</v>
      </c>
      <c r="B6" s="9" t="s">
        <v>20</v>
      </c>
      <c r="C6" s="9" t="s">
        <v>20</v>
      </c>
      <c r="D6" s="9" t="s">
        <v>20</v>
      </c>
      <c r="E6" s="10">
        <v>279.666</v>
      </c>
      <c r="F6" s="11">
        <v>228.73400000000001</v>
      </c>
      <c r="G6" s="12">
        <v>39.14</v>
      </c>
      <c r="H6" s="13">
        <v>1850</v>
      </c>
      <c r="I6" s="13">
        <v>3744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614</v>
      </c>
      <c r="Q6" s="13">
        <f t="shared" si="0"/>
        <v>5633.14</v>
      </c>
      <c r="R6" s="13">
        <f t="shared" si="1"/>
        <v>614</v>
      </c>
    </row>
    <row r="7" spans="1:18">
      <c r="A7" s="8">
        <v>46238</v>
      </c>
      <c r="B7" s="9" t="s">
        <v>20</v>
      </c>
      <c r="C7" s="9" t="s">
        <v>20</v>
      </c>
      <c r="D7" s="9" t="s">
        <v>20</v>
      </c>
      <c r="E7" s="10">
        <v>259.60599999999999</v>
      </c>
      <c r="F7" s="11">
        <v>231.19399999999999</v>
      </c>
      <c r="G7" s="12">
        <v>40.17</v>
      </c>
      <c r="H7" s="13">
        <v>3525</v>
      </c>
      <c r="I7" s="13">
        <v>1008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561</v>
      </c>
      <c r="Q7" s="13">
        <f t="shared" si="0"/>
        <v>4573.17</v>
      </c>
      <c r="R7" s="13">
        <f t="shared" si="1"/>
        <v>561</v>
      </c>
    </row>
    <row r="8" spans="1:18">
      <c r="A8" s="8">
        <v>46239</v>
      </c>
      <c r="B8" s="9" t="s">
        <v>20</v>
      </c>
      <c r="C8" s="9" t="s">
        <v>20</v>
      </c>
      <c r="D8" s="9" t="s">
        <v>20</v>
      </c>
      <c r="E8" s="10">
        <v>270.20100000000002</v>
      </c>
      <c r="F8" s="11">
        <v>226.328</v>
      </c>
      <c r="G8" s="12">
        <v>46.35</v>
      </c>
      <c r="H8" s="13">
        <v>4000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3">
        <v>0</v>
      </c>
      <c r="O8" s="13">
        <v>0</v>
      </c>
      <c r="P8" s="13">
        <v>560</v>
      </c>
      <c r="Q8" s="13">
        <f t="shared" si="0"/>
        <v>4046.35</v>
      </c>
      <c r="R8" s="13">
        <f t="shared" si="1"/>
        <v>560</v>
      </c>
    </row>
    <row r="9" spans="1:18">
      <c r="A9" s="8">
        <v>46240</v>
      </c>
      <c r="B9" s="9" t="s">
        <v>20</v>
      </c>
      <c r="C9" s="9" t="s">
        <v>20</v>
      </c>
      <c r="D9" s="9" t="s">
        <v>20</v>
      </c>
      <c r="E9" s="10">
        <v>231.845</v>
      </c>
      <c r="F9" s="11">
        <v>227.34100000000001</v>
      </c>
      <c r="G9" s="12">
        <v>45.32</v>
      </c>
      <c r="H9" s="13">
        <v>3600</v>
      </c>
      <c r="I9" s="14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480</v>
      </c>
      <c r="Q9" s="13">
        <f t="shared" si="0"/>
        <v>3645.32</v>
      </c>
      <c r="R9" s="13">
        <f t="shared" si="1"/>
        <v>480</v>
      </c>
    </row>
    <row r="10" spans="1:18">
      <c r="A10" s="8">
        <v>46241</v>
      </c>
      <c r="B10" s="9" t="s">
        <v>20</v>
      </c>
      <c r="C10" s="9" t="s">
        <v>20</v>
      </c>
      <c r="D10" s="9" t="s">
        <v>20</v>
      </c>
      <c r="E10" s="10">
        <v>248.91199999999998</v>
      </c>
      <c r="F10" s="11">
        <v>232.375</v>
      </c>
      <c r="G10" s="12">
        <v>45.32</v>
      </c>
      <c r="H10" s="13">
        <v>1525</v>
      </c>
      <c r="I10" s="14">
        <v>0</v>
      </c>
      <c r="J10" s="13">
        <v>0</v>
      </c>
      <c r="K10" s="13">
        <v>8160</v>
      </c>
      <c r="L10" s="13">
        <v>0</v>
      </c>
      <c r="M10" s="13">
        <v>0</v>
      </c>
      <c r="N10" s="13">
        <v>0</v>
      </c>
      <c r="O10" s="13">
        <v>0</v>
      </c>
      <c r="P10" s="13">
        <v>512</v>
      </c>
      <c r="Q10" s="13">
        <f t="shared" si="0"/>
        <v>9730.32</v>
      </c>
      <c r="R10" s="13">
        <f t="shared" si="1"/>
        <v>512</v>
      </c>
    </row>
    <row r="11" spans="1:18">
      <c r="A11" s="8">
        <v>46242</v>
      </c>
      <c r="B11" s="9" t="s">
        <v>20</v>
      </c>
      <c r="C11" s="9" t="s">
        <v>20</v>
      </c>
      <c r="D11" s="9" t="s">
        <v>20</v>
      </c>
      <c r="E11" s="10">
        <v>248.64</v>
      </c>
      <c r="F11" s="11">
        <v>227.5</v>
      </c>
      <c r="G11" s="12">
        <v>43.26</v>
      </c>
      <c r="H11" s="13">
        <v>3875</v>
      </c>
      <c r="I11" s="14">
        <v>0</v>
      </c>
      <c r="J11" s="13">
        <v>240</v>
      </c>
      <c r="K11" s="13">
        <v>3168</v>
      </c>
      <c r="L11" s="13">
        <v>0</v>
      </c>
      <c r="M11" s="13">
        <v>0</v>
      </c>
      <c r="N11" s="13">
        <v>0</v>
      </c>
      <c r="O11" s="13">
        <v>0</v>
      </c>
      <c r="P11" s="13">
        <v>576</v>
      </c>
      <c r="Q11" s="13">
        <f t="shared" si="0"/>
        <v>7326.26</v>
      </c>
      <c r="R11" s="13">
        <f t="shared" si="1"/>
        <v>576</v>
      </c>
    </row>
    <row r="12" spans="1:18">
      <c r="A12" s="8">
        <v>46243</v>
      </c>
      <c r="B12" s="9" t="s">
        <v>20</v>
      </c>
      <c r="C12" s="9" t="s">
        <v>20</v>
      </c>
      <c r="D12" s="9" t="s">
        <v>20</v>
      </c>
      <c r="E12" s="10">
        <v>250.99200000000002</v>
      </c>
      <c r="F12" s="11">
        <v>232.45699999999999</v>
      </c>
      <c r="G12" s="12">
        <v>44.29</v>
      </c>
      <c r="H12" s="13">
        <v>1450</v>
      </c>
      <c r="I12" s="14">
        <v>0</v>
      </c>
      <c r="J12" s="13">
        <v>0</v>
      </c>
      <c r="K12" s="13">
        <v>16464</v>
      </c>
      <c r="L12" s="13">
        <v>0</v>
      </c>
      <c r="M12" s="13">
        <v>0</v>
      </c>
      <c r="N12" s="13">
        <v>0</v>
      </c>
      <c r="O12" s="13">
        <v>0</v>
      </c>
      <c r="P12" s="13">
        <v>486</v>
      </c>
      <c r="Q12" s="13">
        <f t="shared" si="0"/>
        <v>17958.29</v>
      </c>
      <c r="R12" s="13">
        <f t="shared" si="1"/>
        <v>486</v>
      </c>
    </row>
    <row r="13" spans="1:18">
      <c r="A13" s="8">
        <v>46244</v>
      </c>
      <c r="B13" s="9" t="s">
        <v>20</v>
      </c>
      <c r="C13" s="9" t="s">
        <v>20</v>
      </c>
      <c r="D13" s="9" t="s">
        <v>20</v>
      </c>
      <c r="E13" s="10">
        <v>275.58100000000002</v>
      </c>
      <c r="F13" s="11">
        <v>230.11500000000001</v>
      </c>
      <c r="G13" s="12">
        <v>39.14</v>
      </c>
      <c r="H13" s="13">
        <v>950</v>
      </c>
      <c r="I13" s="14">
        <v>0</v>
      </c>
      <c r="J13" s="13">
        <v>740</v>
      </c>
      <c r="K13" s="13">
        <v>17952</v>
      </c>
      <c r="L13" s="13">
        <v>0</v>
      </c>
      <c r="M13" s="13">
        <v>0</v>
      </c>
      <c r="N13" s="13">
        <v>0</v>
      </c>
      <c r="O13" s="13">
        <v>0</v>
      </c>
      <c r="P13" s="13">
        <v>536</v>
      </c>
      <c r="Q13" s="13">
        <f t="shared" si="0"/>
        <v>19681.14</v>
      </c>
      <c r="R13" s="13">
        <f t="shared" si="1"/>
        <v>536</v>
      </c>
    </row>
    <row r="14" spans="1:18">
      <c r="A14" s="8">
        <v>46245</v>
      </c>
      <c r="B14" s="9" t="s">
        <v>20</v>
      </c>
      <c r="C14" s="9" t="s">
        <v>20</v>
      </c>
      <c r="D14" s="9" t="s">
        <v>20</v>
      </c>
      <c r="E14" s="10">
        <v>253.83500000000001</v>
      </c>
      <c r="F14" s="11">
        <v>229.072</v>
      </c>
      <c r="G14" s="12">
        <v>27.81</v>
      </c>
      <c r="H14" s="13">
        <v>0</v>
      </c>
      <c r="I14" s="13">
        <v>10265.64</v>
      </c>
      <c r="J14" s="13">
        <v>0</v>
      </c>
      <c r="K14" s="13">
        <v>8064</v>
      </c>
      <c r="L14" s="13">
        <v>0</v>
      </c>
      <c r="M14" s="13">
        <v>0</v>
      </c>
      <c r="N14" s="13">
        <v>0</v>
      </c>
      <c r="O14" s="13">
        <v>0</v>
      </c>
      <c r="P14" s="13">
        <v>576</v>
      </c>
      <c r="Q14" s="13">
        <f t="shared" si="0"/>
        <v>18357.449999999997</v>
      </c>
      <c r="R14" s="13">
        <f t="shared" si="1"/>
        <v>576</v>
      </c>
    </row>
    <row r="15" spans="1:18">
      <c r="A15" s="8">
        <v>46246</v>
      </c>
      <c r="B15" s="9" t="s">
        <v>20</v>
      </c>
      <c r="C15" s="9" t="s">
        <v>20</v>
      </c>
      <c r="D15" s="9" t="s">
        <v>20</v>
      </c>
      <c r="E15" s="10">
        <v>245.12899999999999</v>
      </c>
      <c r="F15" s="11">
        <v>231.83</v>
      </c>
      <c r="G15" s="12">
        <v>20.6</v>
      </c>
      <c r="H15" s="13">
        <v>100</v>
      </c>
      <c r="I15" s="13">
        <v>8726.52</v>
      </c>
      <c r="J15" s="13">
        <v>0</v>
      </c>
      <c r="K15" s="13">
        <v>8064</v>
      </c>
      <c r="L15" s="13">
        <v>0</v>
      </c>
      <c r="M15" s="13">
        <v>0</v>
      </c>
      <c r="N15" s="13">
        <v>0</v>
      </c>
      <c r="O15" s="13">
        <v>0</v>
      </c>
      <c r="P15" s="13">
        <v>600</v>
      </c>
      <c r="Q15" s="13">
        <f t="shared" si="0"/>
        <v>16911.120000000003</v>
      </c>
      <c r="R15" s="13">
        <f t="shared" si="1"/>
        <v>600</v>
      </c>
    </row>
    <row r="16" spans="1:18">
      <c r="A16" s="8">
        <v>46247</v>
      </c>
      <c r="B16" s="9" t="s">
        <v>20</v>
      </c>
      <c r="C16" s="9" t="s">
        <v>20</v>
      </c>
      <c r="D16" s="9" t="s">
        <v>20</v>
      </c>
      <c r="E16" s="10">
        <v>240.79400000000001</v>
      </c>
      <c r="F16" s="11">
        <v>228.357</v>
      </c>
      <c r="G16" s="12">
        <v>23.69</v>
      </c>
      <c r="H16" s="13">
        <v>200</v>
      </c>
      <c r="I16" s="13">
        <v>5691.84</v>
      </c>
      <c r="J16" s="13">
        <v>0</v>
      </c>
      <c r="K16" s="13">
        <v>6144</v>
      </c>
      <c r="L16" s="13">
        <v>0</v>
      </c>
      <c r="M16" s="13">
        <v>0</v>
      </c>
      <c r="N16" s="13">
        <v>0</v>
      </c>
      <c r="O16" s="13">
        <v>0</v>
      </c>
      <c r="P16" s="13">
        <v>600</v>
      </c>
      <c r="Q16" s="13">
        <f t="shared" si="0"/>
        <v>12059.529999999999</v>
      </c>
      <c r="R16" s="13">
        <f t="shared" si="1"/>
        <v>600</v>
      </c>
    </row>
    <row r="17" spans="1:18">
      <c r="A17" s="8">
        <v>46248</v>
      </c>
      <c r="B17" s="9" t="s">
        <v>20</v>
      </c>
      <c r="C17" s="9" t="s">
        <v>20</v>
      </c>
      <c r="D17" s="9" t="s">
        <v>20</v>
      </c>
      <c r="E17" s="10">
        <v>255.208</v>
      </c>
      <c r="F17" s="11">
        <v>212.012</v>
      </c>
      <c r="G17" s="12">
        <v>39.14</v>
      </c>
      <c r="H17" s="13">
        <v>450</v>
      </c>
      <c r="I17" s="13">
        <v>435.6</v>
      </c>
      <c r="J17" s="13">
        <v>4320</v>
      </c>
      <c r="K17" s="13">
        <v>17596</v>
      </c>
      <c r="L17" s="13">
        <v>0</v>
      </c>
      <c r="M17" s="13">
        <v>0</v>
      </c>
      <c r="N17" s="13">
        <v>0</v>
      </c>
      <c r="O17" s="13">
        <v>0</v>
      </c>
      <c r="P17" s="13">
        <v>664</v>
      </c>
      <c r="Q17" s="13">
        <f t="shared" si="0"/>
        <v>22840.739999999998</v>
      </c>
      <c r="R17" s="13">
        <f t="shared" si="1"/>
        <v>664</v>
      </c>
    </row>
    <row r="18" spans="1:18">
      <c r="A18" s="8">
        <v>46249</v>
      </c>
      <c r="B18" s="9" t="s">
        <v>20</v>
      </c>
      <c r="C18" s="9" t="s">
        <v>20</v>
      </c>
      <c r="D18" s="9" t="s">
        <v>20</v>
      </c>
      <c r="E18" s="10">
        <v>237.488</v>
      </c>
      <c r="F18" s="11">
        <v>227.142</v>
      </c>
      <c r="G18" s="12">
        <v>35.020000000000003</v>
      </c>
      <c r="H18" s="13">
        <v>350</v>
      </c>
      <c r="I18" s="13">
        <v>0</v>
      </c>
      <c r="J18" s="13">
        <v>1540</v>
      </c>
      <c r="K18" s="13">
        <v>9840</v>
      </c>
      <c r="L18" s="13">
        <v>0</v>
      </c>
      <c r="M18" s="13">
        <v>0</v>
      </c>
      <c r="N18" s="13">
        <v>0</v>
      </c>
      <c r="O18" s="13">
        <v>0</v>
      </c>
      <c r="P18" s="13">
        <v>604</v>
      </c>
      <c r="Q18" s="13">
        <f t="shared" si="0"/>
        <v>11765.02</v>
      </c>
      <c r="R18" s="13">
        <f t="shared" si="1"/>
        <v>604</v>
      </c>
    </row>
    <row r="19" spans="1:18">
      <c r="A19" s="8">
        <v>46250</v>
      </c>
      <c r="B19" s="9" t="s">
        <v>20</v>
      </c>
      <c r="C19" s="9" t="s">
        <v>20</v>
      </c>
      <c r="D19" s="9" t="s">
        <v>20</v>
      </c>
      <c r="E19" s="10">
        <v>233.66499999999999</v>
      </c>
      <c r="F19" s="11">
        <v>225.477</v>
      </c>
      <c r="G19" s="12">
        <v>32.96</v>
      </c>
      <c r="H19" s="13">
        <v>0</v>
      </c>
      <c r="I19" s="13">
        <v>0</v>
      </c>
      <c r="J19" s="13">
        <v>1420</v>
      </c>
      <c r="K19" s="13">
        <v>11256</v>
      </c>
      <c r="L19" s="13">
        <v>0</v>
      </c>
      <c r="M19" s="13">
        <v>0</v>
      </c>
      <c r="N19" s="13">
        <v>0</v>
      </c>
      <c r="O19" s="13">
        <v>0</v>
      </c>
      <c r="P19" s="13">
        <v>656</v>
      </c>
      <c r="Q19" s="13">
        <f t="shared" si="0"/>
        <v>12708.96</v>
      </c>
      <c r="R19" s="13">
        <f t="shared" si="1"/>
        <v>656</v>
      </c>
    </row>
    <row r="20" spans="1:18">
      <c r="A20" s="8">
        <v>46251</v>
      </c>
      <c r="B20" s="9" t="s">
        <v>20</v>
      </c>
      <c r="C20" s="9" t="s">
        <v>20</v>
      </c>
      <c r="D20" s="9" t="s">
        <v>20</v>
      </c>
      <c r="E20" s="10">
        <v>266.66899999999998</v>
      </c>
      <c r="F20" s="11">
        <v>222.22</v>
      </c>
      <c r="G20" s="12">
        <v>24.72</v>
      </c>
      <c r="H20" s="13">
        <v>0</v>
      </c>
      <c r="I20" s="13">
        <v>0</v>
      </c>
      <c r="J20" s="13">
        <v>2800</v>
      </c>
      <c r="K20" s="13">
        <v>12908</v>
      </c>
      <c r="L20" s="13">
        <v>0</v>
      </c>
      <c r="M20" s="13">
        <v>0</v>
      </c>
      <c r="N20" s="13">
        <v>0</v>
      </c>
      <c r="O20" s="13">
        <v>0</v>
      </c>
      <c r="P20" s="13">
        <v>624</v>
      </c>
      <c r="Q20" s="13">
        <f t="shared" si="0"/>
        <v>15732.72</v>
      </c>
      <c r="R20" s="13">
        <f t="shared" si="1"/>
        <v>624</v>
      </c>
    </row>
    <row r="21" spans="1:18">
      <c r="A21" s="8">
        <v>46252</v>
      </c>
      <c r="B21" s="9" t="s">
        <v>20</v>
      </c>
      <c r="C21" s="9" t="s">
        <v>20</v>
      </c>
      <c r="D21" s="9" t="s">
        <v>20</v>
      </c>
      <c r="E21" s="10">
        <v>249.04300000000001</v>
      </c>
      <c r="F21" s="11">
        <v>223.678</v>
      </c>
      <c r="G21" s="12">
        <v>45.32</v>
      </c>
      <c r="H21" s="13">
        <v>0</v>
      </c>
      <c r="I21" s="13">
        <v>0</v>
      </c>
      <c r="J21" s="13">
        <v>2380</v>
      </c>
      <c r="K21" s="13">
        <v>10902</v>
      </c>
      <c r="L21" s="13">
        <v>0</v>
      </c>
      <c r="M21" s="13">
        <v>0</v>
      </c>
      <c r="N21" s="13">
        <v>0</v>
      </c>
      <c r="O21" s="13">
        <v>0</v>
      </c>
      <c r="P21" s="13">
        <v>588</v>
      </c>
      <c r="Q21" s="13">
        <f t="shared" si="0"/>
        <v>13327.32</v>
      </c>
      <c r="R21" s="13">
        <f t="shared" si="1"/>
        <v>588</v>
      </c>
    </row>
    <row r="22" spans="1:18">
      <c r="A22" s="8">
        <v>46253</v>
      </c>
      <c r="B22" s="9" t="s">
        <v>20</v>
      </c>
      <c r="C22" s="9" t="s">
        <v>20</v>
      </c>
      <c r="D22" s="9" t="s">
        <v>20</v>
      </c>
      <c r="E22" s="10">
        <v>222.62200000000001</v>
      </c>
      <c r="F22" s="11">
        <v>210.32599999999999</v>
      </c>
      <c r="G22" s="12">
        <v>28.84</v>
      </c>
      <c r="H22" s="13">
        <v>0</v>
      </c>
      <c r="I22" s="13">
        <v>0</v>
      </c>
      <c r="J22" s="13">
        <v>1420</v>
      </c>
      <c r="K22" s="13">
        <v>16320</v>
      </c>
      <c r="L22" s="13">
        <v>0</v>
      </c>
      <c r="M22" s="13">
        <v>0</v>
      </c>
      <c r="N22" s="13">
        <v>0</v>
      </c>
      <c r="O22" s="13">
        <v>180</v>
      </c>
      <c r="P22" s="13">
        <v>624</v>
      </c>
      <c r="Q22" s="13">
        <f t="shared" si="0"/>
        <v>17768.84</v>
      </c>
      <c r="R22" s="13">
        <f t="shared" si="1"/>
        <v>804</v>
      </c>
    </row>
    <row r="23" spans="1:18">
      <c r="A23" s="8">
        <v>46254</v>
      </c>
      <c r="B23" s="9" t="s">
        <v>20</v>
      </c>
      <c r="C23" s="9" t="s">
        <v>20</v>
      </c>
      <c r="D23" s="9" t="s">
        <v>20</v>
      </c>
      <c r="E23" s="10">
        <v>243.43700000000001</v>
      </c>
      <c r="F23" s="11">
        <v>224.24</v>
      </c>
      <c r="G23" s="12">
        <v>29.87</v>
      </c>
      <c r="H23" s="13">
        <v>1100</v>
      </c>
      <c r="I23" s="13">
        <v>0</v>
      </c>
      <c r="J23" s="13">
        <v>480</v>
      </c>
      <c r="K23" s="13">
        <v>12096</v>
      </c>
      <c r="L23" s="13">
        <v>0</v>
      </c>
      <c r="M23" s="13">
        <v>0</v>
      </c>
      <c r="N23" s="13">
        <v>200</v>
      </c>
      <c r="O23" s="13">
        <v>90</v>
      </c>
      <c r="P23" s="13">
        <v>560</v>
      </c>
      <c r="Q23" s="13">
        <f t="shared" si="0"/>
        <v>13705.869999999999</v>
      </c>
      <c r="R23" s="13">
        <f t="shared" si="1"/>
        <v>850</v>
      </c>
    </row>
    <row r="24" spans="1:18">
      <c r="A24" s="8">
        <v>46255</v>
      </c>
      <c r="B24" s="9" t="s">
        <v>20</v>
      </c>
      <c r="C24" s="9" t="s">
        <v>20</v>
      </c>
      <c r="D24" s="9" t="s">
        <v>20</v>
      </c>
      <c r="E24" s="13">
        <v>258.86</v>
      </c>
      <c r="F24" s="15">
        <v>227.18</v>
      </c>
      <c r="G24" s="13">
        <v>31.93</v>
      </c>
      <c r="H24" s="13">
        <v>1650</v>
      </c>
      <c r="I24" s="13">
        <v>0</v>
      </c>
      <c r="J24" s="13">
        <v>0</v>
      </c>
      <c r="K24" s="13">
        <v>13728</v>
      </c>
      <c r="L24" s="13">
        <v>0</v>
      </c>
      <c r="M24" s="13">
        <v>0</v>
      </c>
      <c r="N24" s="13">
        <v>50</v>
      </c>
      <c r="O24" s="13">
        <v>0</v>
      </c>
      <c r="P24" s="13">
        <v>692</v>
      </c>
      <c r="Q24" s="13">
        <f>SUM(G24:L24)</f>
        <v>15409.93</v>
      </c>
      <c r="R24" s="13">
        <f>SUM(M24:P24)</f>
        <v>742</v>
      </c>
    </row>
    <row r="25" spans="1:18">
      <c r="A25" s="8">
        <v>46256</v>
      </c>
      <c r="B25" s="9" t="s">
        <v>20</v>
      </c>
      <c r="C25" s="9" t="s">
        <v>20</v>
      </c>
      <c r="D25" s="9" t="s">
        <v>20</v>
      </c>
      <c r="E25" s="13">
        <v>245.089</v>
      </c>
      <c r="F25" s="13">
        <v>224.12</v>
      </c>
      <c r="G25" s="13">
        <v>24.72</v>
      </c>
      <c r="H25" s="13">
        <v>400</v>
      </c>
      <c r="I25" s="13">
        <v>0</v>
      </c>
      <c r="J25" s="13">
        <v>360</v>
      </c>
      <c r="K25" s="13">
        <v>16464</v>
      </c>
      <c r="L25" s="13">
        <v>0</v>
      </c>
      <c r="M25" s="13">
        <v>0</v>
      </c>
      <c r="N25" s="13">
        <v>0</v>
      </c>
      <c r="O25" s="13">
        <v>240</v>
      </c>
      <c r="P25" s="13">
        <v>696</v>
      </c>
      <c r="Q25" s="13">
        <f t="shared" ref="Q25:Q34" si="2">SUM(G25:L25)</f>
        <v>17248.72</v>
      </c>
      <c r="R25" s="13">
        <f t="shared" ref="R25:R34" si="3">SUM(M25:P25)</f>
        <v>936</v>
      </c>
    </row>
    <row r="26" spans="1:18">
      <c r="A26" s="8">
        <v>46257</v>
      </c>
      <c r="B26" s="9" t="s">
        <v>20</v>
      </c>
      <c r="C26" s="9" t="s">
        <v>20</v>
      </c>
      <c r="D26" s="9" t="s">
        <v>20</v>
      </c>
      <c r="E26" s="13">
        <v>254.548</v>
      </c>
      <c r="F26" s="13">
        <v>224.66</v>
      </c>
      <c r="G26" s="13">
        <v>24.72</v>
      </c>
      <c r="H26" s="13">
        <v>0</v>
      </c>
      <c r="I26" s="13">
        <v>2308.6799999999998</v>
      </c>
      <c r="J26" s="13">
        <v>1840</v>
      </c>
      <c r="K26" s="13">
        <v>10224</v>
      </c>
      <c r="L26" s="13">
        <v>0</v>
      </c>
      <c r="M26" s="13">
        <v>0</v>
      </c>
      <c r="N26" s="13">
        <v>0</v>
      </c>
      <c r="O26" s="13">
        <v>0</v>
      </c>
      <c r="P26" s="13">
        <v>672</v>
      </c>
      <c r="Q26" s="13">
        <f t="shared" si="2"/>
        <v>14397.4</v>
      </c>
      <c r="R26" s="13">
        <f t="shared" si="3"/>
        <v>672</v>
      </c>
    </row>
    <row r="27" spans="1:18">
      <c r="A27" s="8">
        <v>46258</v>
      </c>
      <c r="B27" s="9" t="s">
        <v>20</v>
      </c>
      <c r="C27" s="9" t="s">
        <v>20</v>
      </c>
      <c r="D27" s="9" t="s">
        <v>20</v>
      </c>
      <c r="E27" s="13">
        <v>256.07499999999999</v>
      </c>
      <c r="F27" s="13">
        <v>223.49</v>
      </c>
      <c r="G27" s="13">
        <v>30.9</v>
      </c>
      <c r="H27" s="13">
        <v>1750</v>
      </c>
      <c r="I27" s="13">
        <v>0</v>
      </c>
      <c r="J27" s="13">
        <v>2820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672</v>
      </c>
      <c r="Q27" s="13">
        <f t="shared" si="2"/>
        <v>4600.8999999999996</v>
      </c>
      <c r="R27" s="13">
        <f t="shared" si="3"/>
        <v>672</v>
      </c>
    </row>
    <row r="28" spans="1:18">
      <c r="A28" s="8">
        <v>46259</v>
      </c>
      <c r="B28" s="9" t="s">
        <v>20</v>
      </c>
      <c r="C28" s="9" t="s">
        <v>20</v>
      </c>
      <c r="D28" s="9" t="s">
        <v>20</v>
      </c>
      <c r="E28" s="13">
        <v>235.25</v>
      </c>
      <c r="F28" s="13">
        <v>225.18</v>
      </c>
      <c r="G28" s="13">
        <v>30.9</v>
      </c>
      <c r="H28" s="13">
        <v>625</v>
      </c>
      <c r="I28" s="13">
        <v>5808</v>
      </c>
      <c r="J28" s="13">
        <v>2120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552</v>
      </c>
      <c r="Q28" s="13">
        <f t="shared" si="2"/>
        <v>8583.9</v>
      </c>
      <c r="R28" s="13">
        <f t="shared" si="3"/>
        <v>552</v>
      </c>
    </row>
    <row r="29" spans="1:18">
      <c r="A29" s="8">
        <v>46260</v>
      </c>
      <c r="B29" s="9" t="s">
        <v>20</v>
      </c>
      <c r="C29" s="9" t="s">
        <v>20</v>
      </c>
      <c r="D29" s="9" t="s">
        <v>20</v>
      </c>
      <c r="E29" s="13">
        <v>258.86099999999999</v>
      </c>
      <c r="F29" s="13">
        <v>223.2</v>
      </c>
      <c r="G29" s="13">
        <v>30.9</v>
      </c>
      <c r="H29" s="13">
        <v>0</v>
      </c>
      <c r="I29" s="13">
        <v>0</v>
      </c>
      <c r="J29" s="13">
        <v>2920</v>
      </c>
      <c r="K29" s="13">
        <v>11280</v>
      </c>
      <c r="L29" s="13">
        <v>0</v>
      </c>
      <c r="M29" s="13">
        <v>0</v>
      </c>
      <c r="N29" s="13">
        <v>0</v>
      </c>
      <c r="O29" s="13">
        <v>0</v>
      </c>
      <c r="P29" s="13">
        <v>486</v>
      </c>
      <c r="Q29" s="13">
        <f t="shared" si="2"/>
        <v>14230.9</v>
      </c>
      <c r="R29" s="13">
        <f t="shared" si="3"/>
        <v>486</v>
      </c>
    </row>
    <row r="30" spans="1:18">
      <c r="A30" s="8">
        <v>46261</v>
      </c>
      <c r="B30" s="9" t="s">
        <v>20</v>
      </c>
      <c r="C30" s="9" t="s">
        <v>20</v>
      </c>
      <c r="D30" s="9" t="s">
        <v>20</v>
      </c>
      <c r="E30" s="13">
        <v>234.727</v>
      </c>
      <c r="F30" s="16">
        <v>228.33</v>
      </c>
      <c r="G30" s="13">
        <v>36.049999999999997</v>
      </c>
      <c r="H30" s="13">
        <v>0</v>
      </c>
      <c r="I30" s="13">
        <v>0</v>
      </c>
      <c r="J30" s="13">
        <v>2700</v>
      </c>
      <c r="K30" s="13">
        <v>6852</v>
      </c>
      <c r="L30" s="13">
        <v>0</v>
      </c>
      <c r="M30" s="13">
        <v>0</v>
      </c>
      <c r="N30" s="13">
        <v>0</v>
      </c>
      <c r="O30" s="13">
        <v>0</v>
      </c>
      <c r="P30" s="13">
        <v>476</v>
      </c>
      <c r="Q30" s="13">
        <f t="shared" si="2"/>
        <v>9588.0499999999993</v>
      </c>
      <c r="R30" s="13">
        <f t="shared" si="3"/>
        <v>476</v>
      </c>
    </row>
    <row r="31" spans="1:18">
      <c r="A31" s="8">
        <v>46262</v>
      </c>
      <c r="B31" s="9" t="s">
        <v>20</v>
      </c>
      <c r="C31" s="9" t="s">
        <v>20</v>
      </c>
      <c r="D31" s="9" t="s">
        <v>20</v>
      </c>
      <c r="E31" s="10">
        <v>248.26400000000001</v>
      </c>
      <c r="F31" s="17">
        <v>228.79</v>
      </c>
      <c r="G31" s="12">
        <v>33.99</v>
      </c>
      <c r="H31" s="13">
        <v>1925</v>
      </c>
      <c r="I31" s="13">
        <v>0</v>
      </c>
      <c r="J31" s="13">
        <v>1300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586</v>
      </c>
      <c r="Q31" s="13">
        <f t="shared" si="2"/>
        <v>3258.99</v>
      </c>
      <c r="R31" s="13">
        <f t="shared" si="3"/>
        <v>586</v>
      </c>
    </row>
    <row r="32" spans="1:18">
      <c r="A32" s="8">
        <v>46263</v>
      </c>
      <c r="B32" s="9" t="s">
        <v>20</v>
      </c>
      <c r="C32" s="9" t="s">
        <v>20</v>
      </c>
      <c r="D32" s="9" t="s">
        <v>20</v>
      </c>
      <c r="E32" s="10">
        <v>246.99700000000001</v>
      </c>
      <c r="F32" s="17">
        <v>227.89</v>
      </c>
      <c r="G32" s="12">
        <v>32.96</v>
      </c>
      <c r="H32" s="13">
        <v>2725</v>
      </c>
      <c r="I32" s="13">
        <v>0</v>
      </c>
      <c r="J32" s="13">
        <v>540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577</v>
      </c>
      <c r="Q32" s="13">
        <f t="shared" si="2"/>
        <v>3297.96</v>
      </c>
      <c r="R32" s="13">
        <f t="shared" si="3"/>
        <v>577</v>
      </c>
    </row>
    <row r="33" spans="1:18">
      <c r="A33" s="8">
        <v>46264</v>
      </c>
      <c r="B33" s="9" t="s">
        <v>20</v>
      </c>
      <c r="C33" s="9" t="s">
        <v>20</v>
      </c>
      <c r="D33" s="9" t="s">
        <v>20</v>
      </c>
      <c r="E33" s="10">
        <v>249.71899999999999</v>
      </c>
      <c r="F33" s="17">
        <v>227.31</v>
      </c>
      <c r="G33" s="12">
        <v>39.14</v>
      </c>
      <c r="H33" s="13">
        <v>4125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100</v>
      </c>
      <c r="O33" s="13">
        <v>180</v>
      </c>
      <c r="P33" s="13">
        <v>538</v>
      </c>
      <c r="Q33" s="13">
        <f t="shared" si="2"/>
        <v>4164.1400000000003</v>
      </c>
      <c r="R33" s="13">
        <f t="shared" si="3"/>
        <v>818</v>
      </c>
    </row>
    <row r="34" spans="1:18">
      <c r="A34" s="8">
        <v>46265</v>
      </c>
      <c r="B34" s="9" t="s">
        <v>20</v>
      </c>
      <c r="C34" s="9" t="s">
        <v>20</v>
      </c>
      <c r="D34" s="9" t="s">
        <v>20</v>
      </c>
      <c r="E34" s="10">
        <v>256.142</v>
      </c>
      <c r="F34" s="17">
        <v>223.12</v>
      </c>
      <c r="G34" s="12">
        <v>37.08</v>
      </c>
      <c r="H34" s="13">
        <v>2500</v>
      </c>
      <c r="I34" s="13">
        <v>0</v>
      </c>
      <c r="J34" s="13">
        <v>0</v>
      </c>
      <c r="K34" s="13">
        <v>7680</v>
      </c>
      <c r="L34" s="13">
        <v>0</v>
      </c>
      <c r="M34" s="13">
        <v>0</v>
      </c>
      <c r="N34" s="13">
        <v>175</v>
      </c>
      <c r="O34" s="13">
        <v>330</v>
      </c>
      <c r="P34" s="13">
        <v>528</v>
      </c>
      <c r="Q34" s="13">
        <f t="shared" si="2"/>
        <v>10217.08</v>
      </c>
      <c r="R34" s="13">
        <f t="shared" si="3"/>
        <v>1033</v>
      </c>
    </row>
    <row r="35" spans="1:18">
      <c r="A35" s="18" t="s">
        <v>21</v>
      </c>
      <c r="B35" s="19"/>
      <c r="C35" s="19"/>
      <c r="D35" s="19"/>
      <c r="E35" s="19">
        <f>SUM(E4:E34)</f>
        <v>7713.8539999999994</v>
      </c>
      <c r="F35" s="19">
        <f>SUM(F4:F34)</f>
        <v>7004.8269999999993</v>
      </c>
      <c r="G35" s="19">
        <f>SUM(G4:G34)</f>
        <v>1045.45</v>
      </c>
      <c r="H35" s="19">
        <f t="shared" ref="H35:R35" si="4">SUM(H4:H34)</f>
        <v>39450</v>
      </c>
      <c r="I35" s="19">
        <f t="shared" si="4"/>
        <v>56345.099999999991</v>
      </c>
      <c r="J35" s="19">
        <f t="shared" si="4"/>
        <v>29940</v>
      </c>
      <c r="K35" s="19">
        <f t="shared" si="4"/>
        <v>225162</v>
      </c>
      <c r="L35" s="19">
        <f t="shared" si="4"/>
        <v>0</v>
      </c>
      <c r="M35" s="19">
        <f t="shared" si="4"/>
        <v>0</v>
      </c>
      <c r="N35" s="19">
        <f t="shared" si="4"/>
        <v>525</v>
      </c>
      <c r="O35" s="19">
        <f t="shared" si="4"/>
        <v>1020</v>
      </c>
      <c r="P35" s="19">
        <f t="shared" si="4"/>
        <v>18026</v>
      </c>
      <c r="Q35" s="19">
        <f t="shared" si="4"/>
        <v>351942.5500000001</v>
      </c>
      <c r="R35" s="19">
        <f t="shared" si="4"/>
        <v>19571</v>
      </c>
    </row>
    <row r="36" spans="1:18">
      <c r="A36" s="18" t="s">
        <v>22</v>
      </c>
      <c r="B36" s="19"/>
      <c r="C36" s="19"/>
      <c r="D36" s="19"/>
      <c r="E36" s="19">
        <f>E35/31</f>
        <v>248.83399999999997</v>
      </c>
      <c r="F36" s="19">
        <f>F35/31</f>
        <v>225.96216129032257</v>
      </c>
      <c r="G36" s="19">
        <f t="shared" ref="G36:R36" si="5">G35/31</f>
        <v>33.724193548387099</v>
      </c>
      <c r="H36" s="19">
        <f t="shared" si="5"/>
        <v>1272.5806451612902</v>
      </c>
      <c r="I36" s="19">
        <f t="shared" si="5"/>
        <v>1817.5838709677416</v>
      </c>
      <c r="J36" s="19">
        <f t="shared" si="5"/>
        <v>965.80645161290317</v>
      </c>
      <c r="K36" s="19">
        <f t="shared" si="5"/>
        <v>7263.2903225806449</v>
      </c>
      <c r="L36" s="19">
        <f t="shared" si="5"/>
        <v>0</v>
      </c>
      <c r="M36" s="19">
        <f t="shared" si="5"/>
        <v>0</v>
      </c>
      <c r="N36" s="19">
        <f t="shared" si="5"/>
        <v>16.93548387096774</v>
      </c>
      <c r="O36" s="19">
        <f t="shared" si="5"/>
        <v>32.903225806451616</v>
      </c>
      <c r="P36" s="19">
        <f t="shared" si="5"/>
        <v>581.48387096774195</v>
      </c>
      <c r="Q36" s="19">
        <f t="shared" si="5"/>
        <v>11352.985483870971</v>
      </c>
      <c r="R36" s="19">
        <f t="shared" si="5"/>
        <v>631.32258064516134</v>
      </c>
    </row>
  </sheetData>
  <mergeCells count="6">
    <mergeCell ref="A1:A3"/>
    <mergeCell ref="B1:D2"/>
    <mergeCell ref="E1:E3"/>
    <mergeCell ref="F1:F3"/>
    <mergeCell ref="G1:Q2"/>
    <mergeCell ref="R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2026-09-11T11:02:54Z</dcterms:created>
  <dcterms:modified xsi:type="dcterms:W3CDTF">2026-09-11T11:18:43Z</dcterms:modified>
  <cp:category/>
  <cp:contentStatus/>
</cp:coreProperties>
</file>